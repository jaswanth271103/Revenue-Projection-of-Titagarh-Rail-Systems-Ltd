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WANTH N\Downloads\"/>
    </mc:Choice>
  </mc:AlternateContent>
  <xr:revisionPtr revIDLastSave="0" documentId="8_{59DEF728-59EA-4FAA-B35D-EEDB7DA73408}" xr6:coauthVersionLast="47" xr6:coauthVersionMax="47" xr10:uidLastSave="{00000000-0000-0000-0000-000000000000}"/>
  <bookViews>
    <workbookView xWindow="-108" yWindow="-108" windowWidth="23256" windowHeight="12456" xr2:uid="{A0EA836A-65C1-455C-AD4B-5FBE2DECADF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<sst xmlns="http://schemas.openxmlformats.org/spreadsheetml/2006/main" count="167" uniqueCount="105">
  <si>
    <t>Revenue Projection of Titagarh Rail Systems Ltd.</t>
  </si>
  <si>
    <t>Particular</t>
  </si>
  <si>
    <t>2023A</t>
  </si>
  <si>
    <t>2024A</t>
  </si>
  <si>
    <t>2025E</t>
  </si>
  <si>
    <t>FY2026E</t>
  </si>
  <si>
    <t>2027E</t>
  </si>
  <si>
    <t>FY2028E</t>
  </si>
  <si>
    <t>2029E</t>
  </si>
  <si>
    <t>FY2030E</t>
  </si>
  <si>
    <t>Total Revenue</t>
  </si>
  <si>
    <t>Freight Rolling stock Breakup (including Ship Building)</t>
  </si>
  <si>
    <t>Passenger Rolling Stock Breakup</t>
  </si>
  <si>
    <t>~537</t>
  </si>
  <si>
    <t>~538</t>
  </si>
  <si>
    <t>~539</t>
  </si>
  <si>
    <t>~540</t>
  </si>
  <si>
    <t>~541</t>
  </si>
  <si>
    <t>~542</t>
  </si>
  <si>
    <t>~543</t>
  </si>
  <si>
    <t>~544</t>
  </si>
  <si>
    <t>- Vande Bharat</t>
  </si>
  <si>
    <t>Train Delivery</t>
  </si>
  <si>
    <t>Maintenance</t>
  </si>
  <si>
    <t>- Metro</t>
  </si>
  <si>
    <t>Pune Metro</t>
  </si>
  <si>
    <t>Bangalore Metro</t>
  </si>
  <si>
    <t>Ahmedabad</t>
  </si>
  <si>
    <t>Converter</t>
  </si>
  <si>
    <t>Traction Controls</t>
  </si>
  <si>
    <t>Forged wheel</t>
  </si>
  <si>
    <t>Capacity and Per unit Revenue</t>
  </si>
  <si>
    <t>CALCULATION FORMULA</t>
  </si>
  <si>
    <t>Price Per Unit</t>
  </si>
  <si>
    <t>Previous_Year*1.03</t>
  </si>
  <si>
    <t>Capacity</t>
  </si>
  <si>
    <t>Previous_Year+2000</t>
  </si>
  <si>
    <t>Utilized capacity</t>
  </si>
  <si>
    <t>Previous_Year*1.06</t>
  </si>
  <si>
    <t>Previous_Year+200</t>
  </si>
  <si>
    <t>Vande Bharat</t>
  </si>
  <si>
    <t>Previous_Year+0.10</t>
  </si>
  <si>
    <t>Previous_Year+2</t>
  </si>
  <si>
    <t>Metro</t>
  </si>
  <si>
    <t>Pune</t>
  </si>
  <si>
    <t>Previous_Year*1.00  (flat, same as FY23)</t>
  </si>
  <si>
    <t>Previous_Year+100</t>
  </si>
  <si>
    <t>Total Order Value</t>
  </si>
  <si>
    <t>Utilized_Capacity * Price_Per_Unit</t>
  </si>
  <si>
    <t>Bangalore</t>
  </si>
  <si>
    <t>Previous_Year*1.05</t>
  </si>
  <si>
    <t>Previous_Year+150</t>
  </si>
  <si>
    <t>Buffer</t>
  </si>
  <si>
    <t>Previous_Year*1.02</t>
  </si>
  <si>
    <t>Previous_Year+30</t>
  </si>
  <si>
    <t>Previous_Year+20</t>
  </si>
  <si>
    <t>Traction Motors</t>
  </si>
  <si>
    <t>Previous_Year*1.04</t>
  </si>
  <si>
    <t>Previous_Year+50</t>
  </si>
  <si>
    <t>Previous_Year+3000</t>
  </si>
  <si>
    <t>Ship Building</t>
  </si>
  <si>
    <t>Previous_Year   (constant, unless expansion)</t>
  </si>
  <si>
    <t>MIN(Capacity, Previous_Year+1)</t>
  </si>
  <si>
    <t>Executive Summary</t>
  </si>
  <si>
    <r>
      <t xml:space="preserve">Total Revenue expected to grow from </t>
    </r>
    <r>
      <rPr>
        <b/>
        <sz val="11"/>
        <color rgb="FF000000"/>
        <rFont val="Calibri"/>
        <family val="2"/>
        <scheme val="minor"/>
      </rPr>
      <t>₹2,825 Cr → ₹12,500 Cr</t>
    </r>
    <r>
      <rPr>
        <sz val="11"/>
        <color rgb="FF000000"/>
        <rFont val="Calibri"/>
        <family val="2"/>
        <scheme val="minor"/>
      </rPr>
      <t xml:space="preserve"> by FY2030 (CAGR ~20%)</t>
    </r>
  </si>
  <si>
    <r>
      <t xml:space="preserve">Passenger segment becomes dominant (from </t>
    </r>
    <r>
      <rPr>
        <b/>
        <sz val="11"/>
        <color rgb="FF000000"/>
        <rFont val="Calibri"/>
        <family val="2"/>
        <scheme val="minor"/>
      </rPr>
      <t>19% → 55%</t>
    </r>
    <r>
      <rPr>
        <sz val="11"/>
        <color rgb="FF000000"/>
        <rFont val="Calibri"/>
        <family val="2"/>
        <scheme val="minor"/>
      </rPr>
      <t>)</t>
    </r>
  </si>
  <si>
    <t>Freight segment grows steadily at 8–10% CAGR</t>
  </si>
  <si>
    <t>Metro projects (Pune, Bangalore, Ahmedabad) scale aggressively</t>
  </si>
  <si>
    <t>Vande Bharat manufacturing capacity ramps up consistently</t>
  </si>
  <si>
    <t>Strong order book conversion → sustained multi-year growth</t>
  </si>
  <si>
    <t>Revenue Assumptions</t>
  </si>
  <si>
    <t>Freight growth rate</t>
  </si>
  <si>
    <t>Passenger growth rate</t>
  </si>
  <si>
    <t>Metro project annual expansion</t>
  </si>
  <si>
    <t>Vande Bharat capacity growth</t>
  </si>
  <si>
    <t>Cost/Capacity Assumptions</t>
  </si>
  <si>
    <t>Capacity per year</t>
  </si>
  <si>
    <t>Unit revenue estimates</t>
  </si>
  <si>
    <t>Utilization rate</t>
  </si>
  <si>
    <t>Scenario</t>
  </si>
  <si>
    <t>Freight CAGR</t>
  </si>
  <si>
    <t>Passenger CAGR</t>
  </si>
  <si>
    <t>Total Revenue FY2030E</t>
  </si>
  <si>
    <t>Base Case</t>
  </si>
  <si>
    <t>Bull Case</t>
  </si>
  <si>
    <t>Bear Case</t>
  </si>
  <si>
    <t>Scenario Analysis</t>
  </si>
  <si>
    <t>YoY Growth Table</t>
  </si>
  <si>
    <t>YoY Growth %</t>
  </si>
  <si>
    <t>(Current Year - Last Year) / Last Year</t>
  </si>
  <si>
    <t>Example</t>
  </si>
  <si>
    <t>C3 = (C2 - B2) / B2</t>
  </si>
  <si>
    <t>D3 = (D2 - C2) / C2</t>
  </si>
  <si>
    <t>Passenger Contribution % vs Freight %</t>
  </si>
  <si>
    <t>Freight Contribution % = Freight / Total</t>
  </si>
  <si>
    <t>Passenger Contribution % = Passenger / Total</t>
  </si>
  <si>
    <t>Summary Dashboard</t>
  </si>
  <si>
    <t>[ Revenue CAGR: 20.1% ]</t>
  </si>
  <si>
    <t>[ Passenger Mix FY2030: 55% ]</t>
  </si>
  <si>
    <t>[ Total Revenue FY2030E: ₹12,500 Cr ]</t>
  </si>
  <si>
    <t>Notes:</t>
  </si>
  <si>
    <t>All figures in ₹ Crores</t>
  </si>
  <si>
    <t>Forecasts are based on capacity, utilization, and price-per-unit assumptions</t>
  </si>
  <si>
    <t>Industry data sourced from annual reports, rating reports, and public sources</t>
  </si>
  <si>
    <t>Actual future numbers may vary based on execution &amp; policy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</si>
</sst>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</font>
    <font>
      <sz val="11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0" fillId="0" borderId="4" xfId="0" applyBorder="1"/>
    <xf numFmtId="0" fontId="10" fillId="0" borderId="4" xfId="0" applyFont="1" applyBorder="1"/>
    <xf numFmtId="0" fontId="11" fillId="0" borderId="5" xfId="0" applyFont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Border="1"/>
    <xf numFmtId="0" fontId="1" fillId="0" borderId="4" xfId="0" applyFont="1" applyBorder="1"/>
    <xf numFmtId="9" fontId="0" fillId="0" borderId="4" xfId="0" applyNumberForma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7" fillId="0" borderId="6" xfId="0" applyFont="1" applyBorder="1" applyAlignment="1">
      <alignment vertical="center"/>
    </xf>
    <xf numFmtId="0" fontId="0" fillId="0" borderId="9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Growth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'[1]Revenue Projection '!$C$3:$J$3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2025E</c:v>
                </c:pt>
                <c:pt idx="3">
                  <c:v>FY2026E</c:v>
                </c:pt>
                <c:pt idx="4">
                  <c:v>2027E</c:v>
                </c:pt>
                <c:pt idx="5">
                  <c:v>FY2028E</c:v>
                </c:pt>
                <c:pt idx="6">
                  <c:v>2029E</c:v>
                </c:pt>
                <c:pt idx="7">
                  <c:v>FY2030E</c:v>
                </c:pt>
              </c:strCache>
            </c:strRef>
          </c:cat>
          <c:val>
            <c:numRef>
              <c:f>'[1]Revenue Projection '!$C$4:$J$4</c:f>
              <c:numCache>
                <c:formatCode>#,##0</c:formatCode>
                <c:ptCount val="8"/>
                <c:pt idx="0">
                  <c:v>2825</c:v>
                </c:pt>
                <c:pt idx="1">
                  <c:v>3900</c:v>
                </c:pt>
                <c:pt idx="2">
                  <c:v>5200</c:v>
                </c:pt>
                <c:pt idx="3">
                  <c:v>6500</c:v>
                </c:pt>
                <c:pt idx="4">
                  <c:v>7800</c:v>
                </c:pt>
                <c:pt idx="5">
                  <c:v>9200</c:v>
                </c:pt>
                <c:pt idx="6">
                  <c:v>10800</c:v>
                </c:pt>
                <c:pt idx="7">
                  <c:v>12500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C-488B-A1B0-1BD192584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905632"/>
        <c:axId val="419904192"/>
      </c:lineChart>
      <c:catAx>
        <c:axId val="4199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04192"/>
        <c:crosses val="autoZero"/>
        <c:auto val="1"/>
        <c:lblAlgn val="ctr"/>
        <c:lblOffset val="100"/>
        <c:noMultiLvlLbl val="0"/>
      </c:catAx>
      <c:valAx>
        <c:axId val="4199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0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'[1]Revenue Projection '!$C$6:$J$6</c:f>
              <c:strCache>
                <c:ptCount val="8"/>
                <c:pt idx="0">
                  <c:v>~537</c:v>
                </c:pt>
                <c:pt idx="1">
                  <c:v>~538</c:v>
                </c:pt>
                <c:pt idx="2">
                  <c:v>~539</c:v>
                </c:pt>
                <c:pt idx="3">
                  <c:v>~540</c:v>
                </c:pt>
                <c:pt idx="4">
                  <c:v>~541</c:v>
                </c:pt>
                <c:pt idx="5">
                  <c:v>~542</c:v>
                </c:pt>
                <c:pt idx="6">
                  <c:v>~543</c:v>
                </c:pt>
                <c:pt idx="7">
                  <c:v>~544</c:v>
                </c:pt>
              </c:strCache>
            </c:strRef>
          </c:cat>
          <c:val>
            <c:numRef>
              <c:f>'[1]Revenue Projection '!$C$5:$J$5</c:f>
              <c:numCache>
                <c:formatCode>#,##0</c:formatCode>
                <c:ptCount val="8"/>
                <c:pt idx="0">
                  <c:v>2288</c:v>
                </c:pt>
                <c:pt idx="1">
                  <c:v>2340</c:v>
                </c:pt>
                <c:pt idx="2">
                  <c:v>2700</c:v>
                </c:pt>
                <c:pt idx="3">
                  <c:v>3200</c:v>
                </c:pt>
                <c:pt idx="4">
                  <c:v>3600</c:v>
                </c:pt>
                <c:pt idx="5">
                  <c:v>4100</c:v>
                </c:pt>
                <c:pt idx="6">
                  <c:v>4700</c:v>
                </c:pt>
                <c:pt idx="7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D-4860-B02B-AF2E4E1A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957472"/>
        <c:axId val="419956512"/>
      </c:barChart>
      <c:catAx>
        <c:axId val="41995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Freight Rolling Stock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56512"/>
        <c:crosses val="autoZero"/>
        <c:auto val="1"/>
        <c:lblAlgn val="ctr"/>
        <c:lblOffset val="100"/>
        <c:noMultiLvlLbl val="0"/>
      </c:catAx>
      <c:valAx>
        <c:axId val="4199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Passenger Rolling Stock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5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'[1]Revenue Projection '!$C$6:$J$6</c:f>
              <c:strCache>
                <c:ptCount val="8"/>
                <c:pt idx="0">
                  <c:v>~537</c:v>
                </c:pt>
                <c:pt idx="1">
                  <c:v>~538</c:v>
                </c:pt>
                <c:pt idx="2">
                  <c:v>~539</c:v>
                </c:pt>
                <c:pt idx="3">
                  <c:v>~540</c:v>
                </c:pt>
                <c:pt idx="4">
                  <c:v>~541</c:v>
                </c:pt>
                <c:pt idx="5">
                  <c:v>~542</c:v>
                </c:pt>
                <c:pt idx="6">
                  <c:v>~543</c:v>
                </c:pt>
                <c:pt idx="7">
                  <c:v>~544</c:v>
                </c:pt>
              </c:strCache>
            </c:strRef>
          </c:cat>
          <c:val>
            <c:numRef>
              <c:f>'[1]Revenue Projection '!$C$38:$J$38</c:f>
              <c:numCache>
                <c:formatCode>General</c:formatCode>
                <c:ptCount val="8"/>
                <c:pt idx="0">
                  <c:v>50</c:v>
                </c:pt>
                <c:pt idx="1">
                  <c:v>60</c:v>
                </c:pt>
                <c:pt idx="2">
                  <c:v>84</c:v>
                </c:pt>
                <c:pt idx="3">
                  <c:v>96</c:v>
                </c:pt>
                <c:pt idx="4">
                  <c:v>117</c:v>
                </c:pt>
                <c:pt idx="5">
                  <c:v>130</c:v>
                </c:pt>
                <c:pt idx="6">
                  <c:v>154</c:v>
                </c:pt>
                <c:pt idx="7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5-4788-9177-500FD033A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897472"/>
        <c:axId val="419899392"/>
      </c:barChart>
      <c:catAx>
        <c:axId val="41989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Passenger Rolling Stock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99392"/>
        <c:crosses val="autoZero"/>
        <c:auto val="1"/>
        <c:lblAlgn val="ctr"/>
        <c:lblOffset val="100"/>
        <c:noMultiLvlLbl val="0"/>
      </c:catAx>
      <c:valAx>
        <c:axId val="4198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9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BANGALORE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'[1]Revenue Projection '!$C$6:$J$6</c:f>
              <c:strCache>
                <c:ptCount val="8"/>
                <c:pt idx="0">
                  <c:v>~537</c:v>
                </c:pt>
                <c:pt idx="1">
                  <c:v>~538</c:v>
                </c:pt>
                <c:pt idx="2">
                  <c:v>~539</c:v>
                </c:pt>
                <c:pt idx="3">
                  <c:v>~540</c:v>
                </c:pt>
                <c:pt idx="4">
                  <c:v>~541</c:v>
                </c:pt>
                <c:pt idx="5">
                  <c:v>~542</c:v>
                </c:pt>
                <c:pt idx="6">
                  <c:v>~543</c:v>
                </c:pt>
                <c:pt idx="7">
                  <c:v>~544</c:v>
                </c:pt>
              </c:strCache>
            </c:strRef>
          </c:cat>
          <c:val>
            <c:numRef>
              <c:f>'[1]Revenue Projection '!$C$43:$J$43</c:f>
              <c:numCache>
                <c:formatCode>General</c:formatCode>
                <c:ptCount val="8"/>
                <c:pt idx="0">
                  <c:v>84</c:v>
                </c:pt>
                <c:pt idx="1">
                  <c:v>117</c:v>
                </c:pt>
                <c:pt idx="2">
                  <c:v>154</c:v>
                </c:pt>
                <c:pt idx="3">
                  <c:v>195</c:v>
                </c:pt>
                <c:pt idx="4">
                  <c:v>224</c:v>
                </c:pt>
                <c:pt idx="5">
                  <c:v>240</c:v>
                </c:pt>
                <c:pt idx="6">
                  <c:v>272</c:v>
                </c:pt>
                <c:pt idx="7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7-43C0-A372-1AD94D8A0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919072"/>
        <c:axId val="419924352"/>
      </c:barChart>
      <c:catAx>
        <c:axId val="41991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Passenger Rolling Stock</a:t>
                </a:r>
              </a:p>
            </c:rich>
          </c:tx>
          <c:layout>
            <c:manualLayout>
              <c:xMode val="edge"/>
              <c:yMode val="edge"/>
              <c:x val="0.35027099737532802"/>
              <c:y val="0.89120370370370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24352"/>
        <c:crosses val="autoZero"/>
        <c:auto val="1"/>
        <c:lblAlgn val="ctr"/>
        <c:lblOffset val="100"/>
        <c:noMultiLvlLbl val="0"/>
      </c:catAx>
      <c:valAx>
        <c:axId val="41992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AHMEDABAD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'[1]Revenue Projection '!$C$6:$J$6</c:f>
              <c:strCache>
                <c:ptCount val="8"/>
                <c:pt idx="0">
                  <c:v>~537</c:v>
                </c:pt>
                <c:pt idx="1">
                  <c:v>~538</c:v>
                </c:pt>
                <c:pt idx="2">
                  <c:v>~539</c:v>
                </c:pt>
                <c:pt idx="3">
                  <c:v>~540</c:v>
                </c:pt>
                <c:pt idx="4">
                  <c:v>~541</c:v>
                </c:pt>
                <c:pt idx="5">
                  <c:v>~542</c:v>
                </c:pt>
                <c:pt idx="6">
                  <c:v>~543</c:v>
                </c:pt>
                <c:pt idx="7">
                  <c:v>~544</c:v>
                </c:pt>
              </c:strCache>
            </c:strRef>
          </c:cat>
          <c:val>
            <c:numRef>
              <c:f>'[1]Revenue Projection '!$C$48:$J$48</c:f>
              <c:numCache>
                <c:formatCode>General</c:formatCode>
                <c:ptCount val="8"/>
                <c:pt idx="0">
                  <c:v>66</c:v>
                </c:pt>
                <c:pt idx="1">
                  <c:v>96</c:v>
                </c:pt>
                <c:pt idx="2">
                  <c:v>124</c:v>
                </c:pt>
                <c:pt idx="3">
                  <c:v>147</c:v>
                </c:pt>
                <c:pt idx="4">
                  <c:v>168</c:v>
                </c:pt>
                <c:pt idx="5">
                  <c:v>195</c:v>
                </c:pt>
                <c:pt idx="6">
                  <c:v>210</c:v>
                </c:pt>
                <c:pt idx="7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7-44F1-839A-C43049D78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626095"/>
        <c:axId val="1102091375"/>
      </c:barChart>
      <c:catAx>
        <c:axId val="1101626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Passenger Rolling Stock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91375"/>
        <c:crosses val="autoZero"/>
        <c:auto val="1"/>
        <c:lblAlgn val="ctr"/>
        <c:lblOffset val="100"/>
        <c:noMultiLvlLbl val="0"/>
      </c:catAx>
      <c:valAx>
        <c:axId val="11020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Total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2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'[1]Revenue Projection '!$C$53:$J$53</c:f>
              <c:numCache>
                <c:formatCode>General</c:formatCode>
                <c:ptCount val="8"/>
                <c:pt idx="0">
                  <c:v>30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120</c:v>
                </c:pt>
                <c:pt idx="5">
                  <c:v>140</c:v>
                </c:pt>
                <c:pt idx="6">
                  <c:v>160</c:v>
                </c:pt>
                <c:pt idx="7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4-453B-8F0D-58A456C7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625135"/>
        <c:axId val="1101627055"/>
      </c:barChart>
      <c:catAx>
        <c:axId val="110162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Passenger Rolling Stock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27055"/>
        <c:crosses val="autoZero"/>
        <c:auto val="1"/>
        <c:lblAlgn val="ctr"/>
        <c:lblOffset val="100"/>
        <c:noMultiLvlLbl val="0"/>
      </c:catAx>
      <c:valAx>
        <c:axId val="11016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Total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2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% Contribution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'[1]Revenue Projection '!$C$5:$J$5</c:f>
              <c:numCache>
                <c:formatCode>#,##0</c:formatCode>
                <c:ptCount val="8"/>
                <c:pt idx="0">
                  <c:v>2288</c:v>
                </c:pt>
                <c:pt idx="1">
                  <c:v>2340</c:v>
                </c:pt>
                <c:pt idx="2">
                  <c:v>2700</c:v>
                </c:pt>
                <c:pt idx="3">
                  <c:v>3200</c:v>
                </c:pt>
                <c:pt idx="4">
                  <c:v>3600</c:v>
                </c:pt>
                <c:pt idx="5">
                  <c:v>4100</c:v>
                </c:pt>
                <c:pt idx="6">
                  <c:v>4700</c:v>
                </c:pt>
                <c:pt idx="7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A-4153-9FDE-DA1F4F98B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723695"/>
        <c:axId val="1040139871"/>
      </c:lineChart>
      <c:catAx>
        <c:axId val="110172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Passenger Rolling Stock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39871"/>
        <c:crosses val="autoZero"/>
        <c:auto val="1"/>
        <c:lblAlgn val="ctr"/>
        <c:lblOffset val="100"/>
        <c:noMultiLvlLbl val="0"/>
      </c:catAx>
      <c:valAx>
        <c:axId val="104013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Freight Rolling stock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2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222080</xdr:colOff>
      <xdr:row>2</xdr:row>
      <xdr:rowOff>83026</xdr:rowOff>
    </xdr:from>
    <xdr:to>
      <xdr:col>13</xdr:col>
      <xdr:colOff>410747</xdr:colOff>
      <xdr:row>16</xdr:row>
      <xdr:rowOff>110735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ECDAB-E172-41D9-B722-D9EDF9073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141515</xdr:colOff>
      <xdr:row>2</xdr:row>
      <xdr:rowOff>73480</xdr:rowOff>
    </xdr:from>
    <xdr:to>
      <xdr:col>24</xdr:col>
      <xdr:colOff>364672</xdr:colOff>
      <xdr:row>16</xdr:row>
      <xdr:rowOff>141515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6ACB39-F8A5-4953-8DC9-77242F16E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321128</xdr:colOff>
      <xdr:row>18</xdr:row>
      <xdr:rowOff>24492</xdr:rowOff>
    </xdr:from>
    <xdr:to>
      <xdr:col>17</xdr:col>
      <xdr:colOff>544285</xdr:colOff>
      <xdr:row>33</xdr:row>
      <xdr:rowOff>13606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ADD678-F2CC-4754-A846-D42A91D1F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321129</xdr:colOff>
      <xdr:row>34</xdr:row>
      <xdr:rowOff>21771</xdr:rowOff>
    </xdr:from>
    <xdr:to>
      <xdr:col>17</xdr:col>
      <xdr:colOff>544286</xdr:colOff>
      <xdr:row>49</xdr:row>
      <xdr:rowOff>8164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F8EC63-8C96-4B4B-829A-E9B7A5A96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763732</xdr:colOff>
      <xdr:row>18</xdr:row>
      <xdr:rowOff>12123</xdr:rowOff>
    </xdr:from>
    <xdr:to>
      <xdr:col>23</xdr:col>
      <xdr:colOff>95250</xdr:colOff>
      <xdr:row>33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A6C201-8C8D-47C1-B167-82C317FCF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721302</xdr:colOff>
      <xdr:row>34</xdr:row>
      <xdr:rowOff>13855</xdr:rowOff>
    </xdr:from>
    <xdr:to>
      <xdr:col>23</xdr:col>
      <xdr:colOff>35502</xdr:colOff>
      <xdr:row>48</xdr:row>
      <xdr:rowOff>90055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D1C051-A6DE-4F45-AC14-7A4A33DA3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606878</xdr:colOff>
      <xdr:row>2</xdr:row>
      <xdr:rowOff>76201</xdr:rowOff>
    </xdr:from>
    <xdr:to>
      <xdr:col>18</xdr:col>
      <xdr:colOff>819150</xdr:colOff>
      <xdr:row>16</xdr:row>
      <xdr:rowOff>111580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3655E8-58E9-423C-ACA7-B68DD4726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24</xdr:col>
      <xdr:colOff>855008</xdr:colOff>
      <xdr:row>5</xdr:row>
      <xdr:rowOff>179294</xdr:rowOff>
    </xdr:from>
    <xdr:ext cx="5115485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259F5C-38C1-3549-C0F1-44E1546ADA6E}"/>
            </a:ext>
          </a:extLst>
        </xdr:cNvPr>
        <xdr:cNvSpPr txBox="1"/>
      </xdr:nvSpPr>
      <xdr:spPr>
        <a:xfrm>
          <a:off x="25481055" y="1165412"/>
          <a:ext cx="51154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SWANTH%20N\AppData\Roaming\Microsoft\Excel\Option%201_Annexure%20(version%201).xlsb" TargetMode="External"/><Relationship Id="rId1" Type="http://schemas.openxmlformats.org/officeDocument/2006/relationships/externalLinkPath" Target="/Users/JASWANTH%20N/AppData/Roaming/Microsoft/Excel/Option%201_Annexure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Projection "/>
    </sheetNames>
    <sheetDataSet>
      <sheetData sheetId="0">
        <row r="3">
          <cell r="C3" t="str">
            <v>2023A</v>
          </cell>
          <cell r="D3" t="str">
            <v>2024A</v>
          </cell>
          <cell r="E3" t="str">
            <v>2025E</v>
          </cell>
          <cell r="F3" t="str">
            <v>FY2026E</v>
          </cell>
          <cell r="G3" t="str">
            <v>2027E</v>
          </cell>
          <cell r="H3" t="str">
            <v>FY2028E</v>
          </cell>
          <cell r="I3" t="str">
            <v>2029E</v>
          </cell>
          <cell r="J3" t="str">
            <v>FY2030E</v>
          </cell>
        </row>
        <row r="4">
          <cell r="C4">
            <v>2825</v>
          </cell>
          <cell r="D4">
            <v>3900</v>
          </cell>
          <cell r="E4">
            <v>5200</v>
          </cell>
          <cell r="F4">
            <v>6500</v>
          </cell>
          <cell r="G4">
            <v>7800</v>
          </cell>
          <cell r="H4">
            <v>9200</v>
          </cell>
          <cell r="I4">
            <v>10800</v>
          </cell>
          <cell r="J4">
            <v>12500</v>
          </cell>
        </row>
        <row r="5">
          <cell r="C5">
            <v>2288</v>
          </cell>
          <cell r="D5">
            <v>2340</v>
          </cell>
          <cell r="E5">
            <v>2700</v>
          </cell>
          <cell r="F5">
            <v>3200</v>
          </cell>
          <cell r="G5">
            <v>3600</v>
          </cell>
          <cell r="H5">
            <v>4100</v>
          </cell>
          <cell r="I5">
            <v>4700</v>
          </cell>
          <cell r="J5">
            <v>5500</v>
          </cell>
        </row>
        <row r="6">
          <cell r="C6" t="str">
            <v>~537</v>
          </cell>
          <cell r="D6" t="str">
            <v>~538</v>
          </cell>
          <cell r="E6" t="str">
            <v>~539</v>
          </cell>
          <cell r="F6" t="str">
            <v>~540</v>
          </cell>
          <cell r="G6" t="str">
            <v>~541</v>
          </cell>
          <cell r="H6" t="str">
            <v>~542</v>
          </cell>
          <cell r="I6" t="str">
            <v>~543</v>
          </cell>
          <cell r="J6" t="str">
            <v>~544</v>
          </cell>
        </row>
        <row r="38">
          <cell r="C38">
            <v>50</v>
          </cell>
          <cell r="D38">
            <v>60</v>
          </cell>
          <cell r="E38">
            <v>84</v>
          </cell>
          <cell r="F38">
            <v>96</v>
          </cell>
          <cell r="G38">
            <v>117</v>
          </cell>
          <cell r="H38">
            <v>130</v>
          </cell>
          <cell r="I38">
            <v>154</v>
          </cell>
          <cell r="J38">
            <v>168</v>
          </cell>
        </row>
        <row r="43">
          <cell r="C43">
            <v>84</v>
          </cell>
          <cell r="D43">
            <v>117</v>
          </cell>
          <cell r="E43">
            <v>154</v>
          </cell>
          <cell r="F43">
            <v>195</v>
          </cell>
          <cell r="G43">
            <v>224</v>
          </cell>
          <cell r="H43">
            <v>240</v>
          </cell>
          <cell r="I43">
            <v>272</v>
          </cell>
          <cell r="J43">
            <v>306</v>
          </cell>
        </row>
        <row r="48">
          <cell r="C48">
            <v>66</v>
          </cell>
          <cell r="D48">
            <v>96</v>
          </cell>
          <cell r="E48">
            <v>124</v>
          </cell>
          <cell r="F48">
            <v>147</v>
          </cell>
          <cell r="G48">
            <v>168</v>
          </cell>
          <cell r="H48">
            <v>195</v>
          </cell>
          <cell r="I48">
            <v>210</v>
          </cell>
          <cell r="J48">
            <v>240</v>
          </cell>
        </row>
        <row r="53">
          <cell r="C53">
            <v>30</v>
          </cell>
          <cell r="D53">
            <v>60</v>
          </cell>
          <cell r="E53">
            <v>80</v>
          </cell>
          <cell r="F53">
            <v>100</v>
          </cell>
          <cell r="G53">
            <v>120</v>
          </cell>
          <cell r="H53">
            <v>140</v>
          </cell>
          <cell r="I53">
            <v>160</v>
          </cell>
          <cell r="J53">
            <v>180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7012-DDD2-49D6-A48E-6E37FF531BD9}">
  <dimension ref="B1:Z70"/>
  <sheetViews>
    <sheetView tabSelected="1" zoomScale="25" zoomScaleNormal="25" workbookViewId="0">
      <selection activeCell="AC70" sqref="B1:AC70"/>
    </sheetView>
  </sheetViews>
  <sheetFormatPr defaultColWidth="12.6640625" defaultRowHeight="15.75" customHeight="1" x14ac:dyDescent="0.3"/>
  <cols>
    <col min="1" max="1" width="2" customWidth="1"/>
    <col min="2" max="2" width="52" customWidth="1"/>
    <col min="12" max="12" width="38.77734375" customWidth="1"/>
    <col min="14" max="14" width="15.33203125" customWidth="1"/>
    <col min="15" max="15" width="12.109375" customWidth="1"/>
    <col min="16" max="16" width="14.88671875" customWidth="1"/>
    <col min="26" max="26" width="74" customWidth="1"/>
  </cols>
  <sheetData>
    <row r="1" spans="2:26" ht="15.75" customHeight="1" x14ac:dyDescent="0.5">
      <c r="B1" s="1"/>
      <c r="C1" s="1" t="s">
        <v>0</v>
      </c>
    </row>
    <row r="3" spans="2:26" ht="15.75" customHeight="1" x14ac:dyDescent="0.3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2:26" ht="15.75" customHeight="1" x14ac:dyDescent="0.3">
      <c r="B4" s="4" t="s">
        <v>10</v>
      </c>
      <c r="C4" s="5">
        <v>2825</v>
      </c>
      <c r="D4" s="5">
        <v>3900</v>
      </c>
      <c r="E4" s="5">
        <v>5200</v>
      </c>
      <c r="F4" s="5">
        <v>6500</v>
      </c>
      <c r="G4" s="5">
        <v>7800</v>
      </c>
      <c r="H4" s="5">
        <v>9200</v>
      </c>
      <c r="I4" s="5">
        <v>10800</v>
      </c>
      <c r="J4" s="5">
        <v>12500</v>
      </c>
    </row>
    <row r="5" spans="2:26" ht="15.75" customHeight="1" x14ac:dyDescent="0.3">
      <c r="B5" s="6" t="s">
        <v>11</v>
      </c>
      <c r="C5" s="5">
        <v>2288</v>
      </c>
      <c r="D5" s="5">
        <v>2340</v>
      </c>
      <c r="E5" s="5">
        <v>2700</v>
      </c>
      <c r="F5" s="5">
        <v>3200</v>
      </c>
      <c r="G5" s="5">
        <v>3600</v>
      </c>
      <c r="H5" s="5">
        <v>4100</v>
      </c>
      <c r="I5" s="5">
        <v>4700</v>
      </c>
      <c r="J5" s="5">
        <v>5500</v>
      </c>
    </row>
    <row r="6" spans="2:26" ht="15.75" customHeight="1" x14ac:dyDescent="0.3">
      <c r="B6" s="6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7" t="s">
        <v>20</v>
      </c>
    </row>
    <row r="7" spans="2:26" ht="15.75" customHeight="1" x14ac:dyDescent="0.3">
      <c r="B7" s="8" t="s">
        <v>21</v>
      </c>
      <c r="C7" s="7"/>
      <c r="D7" s="7"/>
      <c r="E7" s="7"/>
      <c r="F7" s="7"/>
      <c r="G7" s="7"/>
      <c r="H7" s="7"/>
      <c r="I7" s="7"/>
      <c r="J7" s="7"/>
    </row>
    <row r="8" spans="2:26" ht="15.75" customHeight="1" x14ac:dyDescent="0.3">
      <c r="B8" s="9" t="s">
        <v>22</v>
      </c>
      <c r="C8" s="7">
        <v>80</v>
      </c>
      <c r="D8" s="7">
        <v>300</v>
      </c>
      <c r="E8" s="7">
        <v>650</v>
      </c>
      <c r="F8" s="7">
        <v>900</v>
      </c>
      <c r="G8" s="7">
        <v>1200</v>
      </c>
      <c r="H8" s="7">
        <v>1450</v>
      </c>
      <c r="I8" s="7">
        <v>1700</v>
      </c>
      <c r="J8" s="7">
        <v>2000</v>
      </c>
    </row>
    <row r="9" spans="2:26" ht="15.75" customHeight="1" x14ac:dyDescent="0.4">
      <c r="B9" s="9" t="s">
        <v>23</v>
      </c>
      <c r="C9" s="7">
        <v>20</v>
      </c>
      <c r="D9" s="7">
        <v>50</v>
      </c>
      <c r="E9" s="7">
        <v>70</v>
      </c>
      <c r="F9" s="7">
        <v>100</v>
      </c>
      <c r="G9" s="7">
        <v>120</v>
      </c>
      <c r="H9" s="7">
        <v>140</v>
      </c>
      <c r="I9" s="7">
        <v>160</v>
      </c>
      <c r="J9" s="7">
        <v>200</v>
      </c>
      <c r="Z9" s="25" t="s">
        <v>63</v>
      </c>
    </row>
    <row r="10" spans="2:26" ht="15.75" customHeight="1" x14ac:dyDescent="0.3">
      <c r="B10" s="8" t="s">
        <v>24</v>
      </c>
      <c r="C10" s="7"/>
      <c r="D10" s="7"/>
      <c r="E10" s="7"/>
      <c r="F10" s="7"/>
      <c r="G10" s="7"/>
      <c r="H10" s="7"/>
      <c r="I10" s="7"/>
      <c r="J10" s="7"/>
      <c r="Z10" s="26" t="s">
        <v>64</v>
      </c>
    </row>
    <row r="11" spans="2:26" ht="15.75" customHeight="1" x14ac:dyDescent="0.3">
      <c r="B11" s="10" t="s">
        <v>25</v>
      </c>
      <c r="C11" s="11">
        <v>90</v>
      </c>
      <c r="D11" s="7">
        <v>250</v>
      </c>
      <c r="E11" s="7">
        <v>350</v>
      </c>
      <c r="F11" s="7">
        <v>420</v>
      </c>
      <c r="G11" s="7">
        <v>520</v>
      </c>
      <c r="H11" s="7">
        <v>650</v>
      </c>
      <c r="I11" s="7">
        <v>760</v>
      </c>
      <c r="J11" s="7">
        <v>900</v>
      </c>
      <c r="Z11" s="26" t="s">
        <v>65</v>
      </c>
    </row>
    <row r="12" spans="2:26" ht="15.75" customHeight="1" x14ac:dyDescent="0.3">
      <c r="B12" s="9" t="s">
        <v>26</v>
      </c>
      <c r="C12" s="7">
        <v>120</v>
      </c>
      <c r="D12" s="7">
        <v>350</v>
      </c>
      <c r="E12" s="7">
        <v>520</v>
      </c>
      <c r="F12" s="7">
        <v>700</v>
      </c>
      <c r="G12" s="7">
        <v>900</v>
      </c>
      <c r="H12" s="7">
        <v>1150</v>
      </c>
      <c r="I12" s="7">
        <v>1400</v>
      </c>
      <c r="J12" s="7">
        <v>1600</v>
      </c>
      <c r="Z12" s="26" t="s">
        <v>66</v>
      </c>
    </row>
    <row r="13" spans="2:26" ht="15.75" customHeight="1" x14ac:dyDescent="0.3">
      <c r="B13" s="9" t="s">
        <v>27</v>
      </c>
      <c r="C13" s="7">
        <v>150</v>
      </c>
      <c r="D13" s="7">
        <v>380</v>
      </c>
      <c r="E13" s="7">
        <v>550</v>
      </c>
      <c r="F13" s="7">
        <v>750</v>
      </c>
      <c r="G13" s="7">
        <v>950</v>
      </c>
      <c r="H13" s="7">
        <v>1200</v>
      </c>
      <c r="I13" s="7">
        <v>1400</v>
      </c>
      <c r="J13" s="7">
        <v>1600</v>
      </c>
      <c r="Z13" s="26" t="s">
        <v>67</v>
      </c>
    </row>
    <row r="14" spans="2:26" ht="15.75" customHeight="1" x14ac:dyDescent="0.3">
      <c r="B14" s="4" t="s">
        <v>28</v>
      </c>
      <c r="C14" s="7">
        <v>30</v>
      </c>
      <c r="D14" s="7">
        <v>110</v>
      </c>
      <c r="E14" s="7">
        <v>180</v>
      </c>
      <c r="F14" s="7">
        <v>210</v>
      </c>
      <c r="G14" s="7">
        <v>540</v>
      </c>
      <c r="H14" s="7">
        <v>240</v>
      </c>
      <c r="I14" s="7">
        <v>300</v>
      </c>
      <c r="J14" s="7">
        <v>320</v>
      </c>
      <c r="Z14" s="26" t="s">
        <v>68</v>
      </c>
    </row>
    <row r="15" spans="2:26" ht="15.75" customHeight="1" x14ac:dyDescent="0.3">
      <c r="B15" s="4" t="s">
        <v>29</v>
      </c>
      <c r="C15" s="7">
        <v>22</v>
      </c>
      <c r="D15" s="7">
        <v>90</v>
      </c>
      <c r="E15" s="7">
        <v>150</v>
      </c>
      <c r="F15" s="7">
        <v>190</v>
      </c>
      <c r="G15" s="7">
        <v>180</v>
      </c>
      <c r="H15" s="7">
        <v>150</v>
      </c>
      <c r="I15" s="7">
        <v>240</v>
      </c>
      <c r="J15" s="7">
        <v>240</v>
      </c>
      <c r="Z15" s="26" t="s">
        <v>69</v>
      </c>
    </row>
    <row r="16" spans="2:26" ht="15.75" customHeight="1" x14ac:dyDescent="0.3">
      <c r="B16" s="4" t="s">
        <v>30</v>
      </c>
      <c r="C16" s="7">
        <v>25</v>
      </c>
      <c r="D16" s="7">
        <v>30</v>
      </c>
      <c r="E16" s="7">
        <v>80</v>
      </c>
      <c r="F16" s="7">
        <v>130</v>
      </c>
      <c r="G16" s="7">
        <v>190</v>
      </c>
      <c r="H16" s="7">
        <v>170</v>
      </c>
      <c r="I16" s="7">
        <v>140</v>
      </c>
      <c r="J16" s="7">
        <v>140</v>
      </c>
    </row>
    <row r="17" spans="2:26" ht="14.4" x14ac:dyDescent="0.3">
      <c r="B17" s="12"/>
      <c r="C17" s="7"/>
      <c r="D17" s="7"/>
      <c r="E17" s="7"/>
      <c r="F17" s="7"/>
      <c r="G17" s="7"/>
      <c r="H17" s="7"/>
      <c r="I17" s="7"/>
      <c r="J17" s="7"/>
    </row>
    <row r="18" spans="2:26" ht="18" x14ac:dyDescent="0.3">
      <c r="B18" s="13"/>
      <c r="C18" s="14"/>
      <c r="D18" s="14"/>
      <c r="E18" s="14"/>
      <c r="F18" s="14"/>
      <c r="G18" s="14"/>
      <c r="H18" s="14"/>
      <c r="I18" s="14"/>
      <c r="J18" s="14"/>
      <c r="Z18" s="27" t="s">
        <v>70</v>
      </c>
    </row>
    <row r="19" spans="2:26" ht="14.4" x14ac:dyDescent="0.3">
      <c r="B19" s="15"/>
      <c r="C19" s="16"/>
      <c r="D19" s="16"/>
      <c r="E19" s="16"/>
      <c r="F19" s="16"/>
      <c r="G19" s="16"/>
      <c r="H19" s="16"/>
      <c r="I19" s="16"/>
      <c r="J19" s="16"/>
      <c r="Z19" s="28"/>
    </row>
    <row r="20" spans="2:26" ht="15.75" customHeight="1" x14ac:dyDescent="0.3">
      <c r="B20" s="17" t="s">
        <v>31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L20" s="18" t="s">
        <v>32</v>
      </c>
      <c r="Z20" s="28" t="s">
        <v>71</v>
      </c>
    </row>
    <row r="21" spans="2:26" ht="15.75" customHeight="1" x14ac:dyDescent="0.3">
      <c r="B21" s="4" t="s">
        <v>11</v>
      </c>
      <c r="C21" s="7"/>
      <c r="D21" s="7"/>
      <c r="E21" s="7"/>
      <c r="F21" s="7"/>
      <c r="G21" s="7"/>
      <c r="H21" s="7"/>
      <c r="I21" s="7"/>
      <c r="J21" s="7"/>
      <c r="L21" s="19"/>
      <c r="Z21" s="28"/>
    </row>
    <row r="22" spans="2:26" ht="15.75" customHeight="1" x14ac:dyDescent="0.3">
      <c r="B22" s="9" t="s">
        <v>33</v>
      </c>
      <c r="C22" s="7">
        <v>6.5000000000000002E-2</v>
      </c>
      <c r="D22" s="7">
        <v>6.8000000000000005E-2</v>
      </c>
      <c r="E22" s="7">
        <v>7.0000000000000007E-2</v>
      </c>
      <c r="F22" s="7">
        <v>7.1999999999999995E-2</v>
      </c>
      <c r="G22" s="7">
        <v>7.4999999999999997E-2</v>
      </c>
      <c r="H22" s="7">
        <v>7.8E-2</v>
      </c>
      <c r="I22" s="7">
        <v>0.08</v>
      </c>
      <c r="J22" s="7">
        <v>8.3000000000000004E-2</v>
      </c>
      <c r="L22" s="20" t="s">
        <v>34</v>
      </c>
      <c r="Z22" s="28" t="s">
        <v>72</v>
      </c>
    </row>
    <row r="23" spans="2:26" ht="15.75" customHeight="1" x14ac:dyDescent="0.3">
      <c r="B23" s="9" t="s">
        <v>35</v>
      </c>
      <c r="C23" s="7">
        <v>35000</v>
      </c>
      <c r="D23" s="7">
        <v>36000</v>
      </c>
      <c r="E23" s="7">
        <v>38000</v>
      </c>
      <c r="F23" s="7">
        <v>40000</v>
      </c>
      <c r="G23" s="7">
        <v>42000</v>
      </c>
      <c r="H23" s="7">
        <v>44000</v>
      </c>
      <c r="I23" s="7">
        <v>46000</v>
      </c>
      <c r="J23" s="7">
        <v>48000</v>
      </c>
      <c r="L23" s="19" t="s">
        <v>36</v>
      </c>
      <c r="Z23" s="28"/>
    </row>
    <row r="24" spans="2:26" ht="15.75" customHeight="1" x14ac:dyDescent="0.3">
      <c r="B24" s="9" t="s">
        <v>37</v>
      </c>
      <c r="C24" s="7">
        <v>28000</v>
      </c>
      <c r="D24" s="7">
        <v>30000</v>
      </c>
      <c r="E24" s="7">
        <v>32000</v>
      </c>
      <c r="F24" s="7">
        <v>34000</v>
      </c>
      <c r="G24" s="7">
        <v>36000</v>
      </c>
      <c r="H24" s="7">
        <v>38000</v>
      </c>
      <c r="I24" s="7">
        <v>40000</v>
      </c>
      <c r="J24" s="7">
        <v>42000</v>
      </c>
      <c r="L24" s="19" t="s">
        <v>36</v>
      </c>
      <c r="Z24" s="28" t="s">
        <v>73</v>
      </c>
    </row>
    <row r="25" spans="2:26" ht="14.4" x14ac:dyDescent="0.3">
      <c r="B25" s="4" t="s">
        <v>12</v>
      </c>
      <c r="C25" s="7"/>
      <c r="D25" s="7"/>
      <c r="E25" s="7"/>
      <c r="F25" s="7"/>
      <c r="G25" s="7"/>
      <c r="H25" s="7"/>
      <c r="I25" s="7"/>
      <c r="J25" s="7"/>
      <c r="L25" s="19"/>
      <c r="Z25" s="28"/>
    </row>
    <row r="26" spans="2:26" ht="14.4" x14ac:dyDescent="0.3">
      <c r="B26" s="9" t="s">
        <v>33</v>
      </c>
      <c r="C26" s="7">
        <v>0.3</v>
      </c>
      <c r="D26" s="7">
        <v>0.32</v>
      </c>
      <c r="E26" s="7">
        <v>0.35</v>
      </c>
      <c r="F26" s="7">
        <v>0.38</v>
      </c>
      <c r="G26" s="7">
        <v>0.4</v>
      </c>
      <c r="H26" s="7">
        <v>0.42</v>
      </c>
      <c r="I26" s="7">
        <v>0.45</v>
      </c>
      <c r="J26" s="7">
        <v>0.48</v>
      </c>
      <c r="L26" s="19" t="s">
        <v>38</v>
      </c>
      <c r="Z26" s="28" t="s">
        <v>74</v>
      </c>
    </row>
    <row r="27" spans="2:26" ht="14.4" x14ac:dyDescent="0.3">
      <c r="B27" s="9" t="s">
        <v>35</v>
      </c>
      <c r="C27" s="7">
        <v>600</v>
      </c>
      <c r="D27" s="7">
        <v>800</v>
      </c>
      <c r="E27" s="7">
        <v>1000</v>
      </c>
      <c r="F27" s="7">
        <v>1200</v>
      </c>
      <c r="G27" s="7">
        <v>1400</v>
      </c>
      <c r="H27" s="7">
        <v>1600</v>
      </c>
      <c r="I27" s="7">
        <v>1800</v>
      </c>
      <c r="J27" s="7">
        <v>2000</v>
      </c>
      <c r="L27" s="19" t="s">
        <v>39</v>
      </c>
    </row>
    <row r="28" spans="2:26" ht="18" x14ac:dyDescent="0.3">
      <c r="B28" s="9" t="s">
        <v>37</v>
      </c>
      <c r="C28" s="7">
        <v>420</v>
      </c>
      <c r="D28" s="7">
        <v>700</v>
      </c>
      <c r="E28" s="7">
        <v>900</v>
      </c>
      <c r="F28" s="7">
        <v>1100</v>
      </c>
      <c r="G28" s="7">
        <v>1300</v>
      </c>
      <c r="H28" s="7">
        <v>1500</v>
      </c>
      <c r="I28" s="7">
        <v>1700</v>
      </c>
      <c r="J28" s="7">
        <v>1900</v>
      </c>
      <c r="L28" s="19" t="s">
        <v>39</v>
      </c>
      <c r="Z28" s="27" t="s">
        <v>75</v>
      </c>
    </row>
    <row r="29" spans="2:26" ht="14.4" x14ac:dyDescent="0.3">
      <c r="B29" s="4" t="s">
        <v>40</v>
      </c>
      <c r="C29" s="7"/>
      <c r="D29" s="7"/>
      <c r="E29" s="7"/>
      <c r="F29" s="7"/>
      <c r="G29" s="7"/>
      <c r="H29" s="7"/>
      <c r="I29" s="7"/>
      <c r="J29" s="7"/>
      <c r="L29" s="19"/>
      <c r="Z29" s="28"/>
    </row>
    <row r="30" spans="2:26" ht="14.4" x14ac:dyDescent="0.3">
      <c r="B30" s="9" t="s">
        <v>33</v>
      </c>
      <c r="C30" s="7">
        <v>2.5</v>
      </c>
      <c r="D30" s="7">
        <v>2.6</v>
      </c>
      <c r="E30" s="7">
        <v>2.7</v>
      </c>
      <c r="F30" s="7">
        <v>2.8</v>
      </c>
      <c r="G30" s="7">
        <v>3</v>
      </c>
      <c r="H30" s="7">
        <v>3.2</v>
      </c>
      <c r="I30" s="7">
        <v>3.3</v>
      </c>
      <c r="J30" s="7">
        <v>3.5</v>
      </c>
      <c r="L30" s="19" t="s">
        <v>41</v>
      </c>
      <c r="Z30" s="28" t="s">
        <v>76</v>
      </c>
    </row>
    <row r="31" spans="2:26" ht="14.4" x14ac:dyDescent="0.3">
      <c r="B31" s="9" t="s">
        <v>35</v>
      </c>
      <c r="C31" s="7">
        <v>6</v>
      </c>
      <c r="D31" s="7">
        <v>8</v>
      </c>
      <c r="E31" s="7">
        <v>10</v>
      </c>
      <c r="F31" s="7">
        <v>12</v>
      </c>
      <c r="G31" s="7">
        <v>14</v>
      </c>
      <c r="H31" s="7">
        <v>16</v>
      </c>
      <c r="I31" s="7">
        <v>18</v>
      </c>
      <c r="J31" s="7">
        <v>20</v>
      </c>
      <c r="K31" s="21"/>
      <c r="L31" s="19" t="s">
        <v>42</v>
      </c>
      <c r="Z31" s="28"/>
    </row>
    <row r="32" spans="2:26" ht="14.4" x14ac:dyDescent="0.3">
      <c r="B32" s="9" t="s">
        <v>37</v>
      </c>
      <c r="C32" s="7">
        <v>3</v>
      </c>
      <c r="D32" s="7">
        <v>6</v>
      </c>
      <c r="E32" s="7">
        <v>8</v>
      </c>
      <c r="F32" s="7">
        <v>10</v>
      </c>
      <c r="G32" s="7">
        <v>12</v>
      </c>
      <c r="H32" s="7">
        <v>14</v>
      </c>
      <c r="I32" s="7">
        <v>16</v>
      </c>
      <c r="J32" s="7">
        <v>18</v>
      </c>
      <c r="L32" s="19" t="s">
        <v>42</v>
      </c>
      <c r="Z32" s="28" t="s">
        <v>77</v>
      </c>
    </row>
    <row r="33" spans="2:26" ht="14.4" x14ac:dyDescent="0.3">
      <c r="B33" s="4" t="s">
        <v>43</v>
      </c>
      <c r="C33" s="7"/>
      <c r="D33" s="7"/>
      <c r="E33" s="7"/>
      <c r="F33" s="7"/>
      <c r="G33" s="7"/>
      <c r="H33" s="7"/>
      <c r="I33" s="7"/>
      <c r="J33" s="7"/>
      <c r="L33" s="19"/>
      <c r="Z33" s="28"/>
    </row>
    <row r="34" spans="2:26" ht="14.4" x14ac:dyDescent="0.3">
      <c r="B34" s="22" t="s">
        <v>44</v>
      </c>
      <c r="C34" s="7"/>
      <c r="D34" s="7"/>
      <c r="E34" s="7"/>
      <c r="F34" s="7"/>
      <c r="G34" s="7"/>
      <c r="H34" s="7"/>
      <c r="I34" s="7"/>
      <c r="J34" s="7"/>
      <c r="L34" s="19"/>
      <c r="Z34" s="28" t="s">
        <v>78</v>
      </c>
    </row>
    <row r="35" spans="2:26" ht="14.4" x14ac:dyDescent="0.3">
      <c r="B35" s="10" t="s">
        <v>33</v>
      </c>
      <c r="C35" s="11">
        <v>0.1</v>
      </c>
      <c r="D35" s="7">
        <v>0.1</v>
      </c>
      <c r="E35" s="23">
        <v>0.12</v>
      </c>
      <c r="F35" s="23">
        <v>0.12</v>
      </c>
      <c r="G35" s="23">
        <v>0.13</v>
      </c>
      <c r="H35" s="23">
        <v>0.13</v>
      </c>
      <c r="I35" s="23">
        <v>0.14000000000000001</v>
      </c>
      <c r="J35" s="23">
        <v>0.14000000000000001</v>
      </c>
      <c r="L35" s="19" t="s">
        <v>45</v>
      </c>
    </row>
    <row r="36" spans="2:26" ht="14.4" x14ac:dyDescent="0.3">
      <c r="B36" s="10" t="s">
        <v>35</v>
      </c>
      <c r="C36" s="11">
        <v>1000</v>
      </c>
      <c r="D36" s="7">
        <v>1000</v>
      </c>
      <c r="E36" s="23">
        <v>1100</v>
      </c>
      <c r="F36" s="23">
        <v>1200</v>
      </c>
      <c r="G36" s="23">
        <v>1300</v>
      </c>
      <c r="H36" s="23">
        <v>1400</v>
      </c>
      <c r="I36" s="23">
        <v>1500</v>
      </c>
      <c r="J36" s="23">
        <v>1600</v>
      </c>
      <c r="L36" s="19" t="s">
        <v>46</v>
      </c>
    </row>
    <row r="37" spans="2:26" ht="14.4" x14ac:dyDescent="0.3">
      <c r="B37" s="10" t="s">
        <v>37</v>
      </c>
      <c r="C37" s="11">
        <v>500</v>
      </c>
      <c r="D37" s="7">
        <v>600</v>
      </c>
      <c r="E37" s="7">
        <v>700</v>
      </c>
      <c r="F37" s="7">
        <v>800</v>
      </c>
      <c r="G37" s="7">
        <v>900</v>
      </c>
      <c r="H37" s="7">
        <v>1000</v>
      </c>
      <c r="I37" s="7">
        <v>1100</v>
      </c>
      <c r="J37" s="7">
        <v>1200</v>
      </c>
      <c r="L37" s="19" t="s">
        <v>46</v>
      </c>
    </row>
    <row r="38" spans="2:26" ht="14.4" x14ac:dyDescent="0.3">
      <c r="B38" s="10" t="s">
        <v>47</v>
      </c>
      <c r="C38" s="11">
        <v>50</v>
      </c>
      <c r="D38" s="7">
        <v>60</v>
      </c>
      <c r="E38" s="7">
        <v>84</v>
      </c>
      <c r="F38" s="7">
        <v>96</v>
      </c>
      <c r="G38" s="7">
        <v>117</v>
      </c>
      <c r="H38" s="7">
        <v>130</v>
      </c>
      <c r="I38" s="7">
        <v>154</v>
      </c>
      <c r="J38" s="7">
        <v>168</v>
      </c>
      <c r="L38" s="19" t="s">
        <v>48</v>
      </c>
    </row>
    <row r="39" spans="2:26" ht="14.4" x14ac:dyDescent="0.3">
      <c r="B39" s="22" t="s">
        <v>49</v>
      </c>
      <c r="C39" s="7"/>
      <c r="D39" s="7"/>
      <c r="E39" s="7"/>
      <c r="F39" s="7"/>
      <c r="G39" s="7"/>
      <c r="H39" s="7"/>
      <c r="I39" s="7"/>
      <c r="J39" s="7"/>
      <c r="L39" s="19"/>
    </row>
    <row r="40" spans="2:26" ht="14.4" x14ac:dyDescent="0.3">
      <c r="B40" s="9" t="s">
        <v>33</v>
      </c>
      <c r="C40" s="7">
        <v>0.12</v>
      </c>
      <c r="D40" s="7">
        <v>0.13</v>
      </c>
      <c r="E40" s="7">
        <v>0.14000000000000001</v>
      </c>
      <c r="F40" s="7">
        <v>0.15</v>
      </c>
      <c r="G40" s="7">
        <v>0.16</v>
      </c>
      <c r="H40" s="7">
        <v>0.16</v>
      </c>
      <c r="I40" s="7">
        <v>0.17</v>
      </c>
      <c r="J40" s="7">
        <v>0.18</v>
      </c>
      <c r="L40" s="19" t="s">
        <v>50</v>
      </c>
    </row>
    <row r="41" spans="2:26" ht="14.4" x14ac:dyDescent="0.3">
      <c r="B41" s="9" t="s">
        <v>35</v>
      </c>
      <c r="C41" s="7">
        <v>1200</v>
      </c>
      <c r="D41" s="7">
        <v>1400</v>
      </c>
      <c r="E41" s="7">
        <v>1500</v>
      </c>
      <c r="F41" s="7">
        <v>1600</v>
      </c>
      <c r="G41" s="7">
        <v>1700</v>
      </c>
      <c r="H41" s="7">
        <v>1800</v>
      </c>
      <c r="I41" s="7">
        <v>1900</v>
      </c>
      <c r="J41" s="7">
        <v>2000</v>
      </c>
      <c r="L41" s="19" t="s">
        <v>46</v>
      </c>
    </row>
    <row r="42" spans="2:26" ht="14.4" x14ac:dyDescent="0.3">
      <c r="B42" s="9" t="s">
        <v>37</v>
      </c>
      <c r="C42" s="7">
        <v>700</v>
      </c>
      <c r="D42" s="7">
        <v>900</v>
      </c>
      <c r="E42" s="7">
        <v>1100</v>
      </c>
      <c r="F42" s="7">
        <v>1300</v>
      </c>
      <c r="G42" s="7">
        <v>1400</v>
      </c>
      <c r="H42" s="7">
        <v>1500</v>
      </c>
      <c r="I42" s="7">
        <v>1600</v>
      </c>
      <c r="J42" s="7">
        <v>1700</v>
      </c>
      <c r="L42" s="19" t="s">
        <v>39</v>
      </c>
    </row>
    <row r="43" spans="2:26" ht="14.4" x14ac:dyDescent="0.3">
      <c r="B43" s="24" t="s">
        <v>47</v>
      </c>
      <c r="C43" s="7">
        <v>84</v>
      </c>
      <c r="D43" s="7">
        <v>117</v>
      </c>
      <c r="E43" s="7">
        <v>154</v>
      </c>
      <c r="F43" s="7">
        <v>195</v>
      </c>
      <c r="G43" s="7">
        <v>224</v>
      </c>
      <c r="H43" s="7">
        <v>240</v>
      </c>
      <c r="I43" s="7">
        <v>272</v>
      </c>
      <c r="J43" s="7">
        <v>306</v>
      </c>
      <c r="L43" s="19" t="s">
        <v>48</v>
      </c>
    </row>
    <row r="44" spans="2:26" ht="14.4" x14ac:dyDescent="0.3">
      <c r="B44" s="22" t="s">
        <v>27</v>
      </c>
      <c r="C44" s="7"/>
      <c r="D44" s="7"/>
      <c r="E44" s="7"/>
      <c r="F44" s="7"/>
      <c r="G44" s="7"/>
      <c r="H44" s="7"/>
      <c r="I44" s="7"/>
      <c r="J44" s="7"/>
      <c r="L44" s="19"/>
    </row>
    <row r="45" spans="2:26" ht="14.4" x14ac:dyDescent="0.3">
      <c r="B45" s="9" t="s">
        <v>33</v>
      </c>
      <c r="C45" s="7">
        <v>0.11</v>
      </c>
      <c r="D45" s="7">
        <v>0.12</v>
      </c>
      <c r="E45" s="7">
        <v>0.13</v>
      </c>
      <c r="F45" s="7">
        <v>0.14000000000000001</v>
      </c>
      <c r="G45" s="7">
        <v>0.14000000000000001</v>
      </c>
      <c r="H45" s="7">
        <v>0.15</v>
      </c>
      <c r="I45" s="7">
        <v>0.15</v>
      </c>
      <c r="J45" s="7">
        <v>0.16</v>
      </c>
      <c r="L45" s="19" t="s">
        <v>50</v>
      </c>
    </row>
    <row r="46" spans="2:26" ht="14.4" x14ac:dyDescent="0.3">
      <c r="B46" s="9" t="s">
        <v>35</v>
      </c>
      <c r="C46" s="7">
        <v>1000</v>
      </c>
      <c r="D46" s="7">
        <v>1100</v>
      </c>
      <c r="E46" s="7">
        <v>1200</v>
      </c>
      <c r="F46" s="7">
        <v>1300</v>
      </c>
      <c r="G46" s="7">
        <v>1400</v>
      </c>
      <c r="H46" s="7">
        <v>1500</v>
      </c>
      <c r="I46" s="7">
        <v>1600</v>
      </c>
      <c r="J46" s="7">
        <v>1700</v>
      </c>
      <c r="L46" s="19" t="s">
        <v>46</v>
      </c>
    </row>
    <row r="47" spans="2:26" ht="14.4" x14ac:dyDescent="0.3">
      <c r="B47" s="9" t="s">
        <v>37</v>
      </c>
      <c r="C47" s="7">
        <v>600</v>
      </c>
      <c r="D47" s="7">
        <v>800</v>
      </c>
      <c r="E47" s="7">
        <v>950</v>
      </c>
      <c r="F47" s="7">
        <v>1050</v>
      </c>
      <c r="G47" s="7">
        <v>1200</v>
      </c>
      <c r="H47" s="7">
        <v>1300</v>
      </c>
      <c r="I47" s="7">
        <v>1400</v>
      </c>
      <c r="J47" s="7">
        <v>1500</v>
      </c>
      <c r="L47" s="19" t="s">
        <v>51</v>
      </c>
    </row>
    <row r="48" spans="2:26" ht="14.4" x14ac:dyDescent="0.3">
      <c r="B48" s="9" t="s">
        <v>47</v>
      </c>
      <c r="C48" s="7">
        <v>66</v>
      </c>
      <c r="D48" s="7">
        <v>96</v>
      </c>
      <c r="E48" s="7">
        <v>124</v>
      </c>
      <c r="F48" s="7">
        <v>147</v>
      </c>
      <c r="G48" s="7">
        <v>168</v>
      </c>
      <c r="H48" s="7">
        <v>195</v>
      </c>
      <c r="I48" s="7">
        <v>210</v>
      </c>
      <c r="J48" s="7">
        <v>240</v>
      </c>
      <c r="L48" s="19" t="s">
        <v>48</v>
      </c>
    </row>
    <row r="49" spans="2:26" ht="14.4" x14ac:dyDescent="0.3">
      <c r="B49" s="12"/>
      <c r="C49" s="7"/>
      <c r="D49" s="7"/>
      <c r="E49" s="7"/>
      <c r="F49" s="7"/>
      <c r="G49" s="7"/>
      <c r="H49" s="7"/>
      <c r="I49" s="7"/>
      <c r="J49" s="7"/>
      <c r="L49" s="19"/>
    </row>
    <row r="50" spans="2:26" ht="14.4" x14ac:dyDescent="0.3">
      <c r="B50" s="22" t="s">
        <v>52</v>
      </c>
      <c r="C50" s="7"/>
      <c r="D50" s="7"/>
      <c r="E50" s="7"/>
      <c r="F50" s="7"/>
      <c r="G50" s="7"/>
      <c r="H50" s="7"/>
      <c r="I50" s="7"/>
      <c r="J50" s="7"/>
      <c r="L50" s="19"/>
    </row>
    <row r="51" spans="2:26" ht="15" thickBot="1" x14ac:dyDescent="0.35">
      <c r="B51" s="9" t="s">
        <v>33</v>
      </c>
      <c r="C51" s="7">
        <v>0.28000000000000003</v>
      </c>
      <c r="D51" s="7">
        <v>0.28000000000000003</v>
      </c>
      <c r="E51" s="7">
        <v>0.3</v>
      </c>
      <c r="F51" s="7">
        <v>0.3</v>
      </c>
      <c r="G51" s="7">
        <v>0.32</v>
      </c>
      <c r="H51" s="7">
        <v>0.32</v>
      </c>
      <c r="I51" s="7">
        <v>0.34</v>
      </c>
      <c r="J51" s="7">
        <v>0.35</v>
      </c>
      <c r="L51" s="19" t="s">
        <v>53</v>
      </c>
      <c r="N51" s="29" t="s">
        <v>86</v>
      </c>
    </row>
    <row r="52" spans="2:26" ht="14.4" x14ac:dyDescent="0.3">
      <c r="B52" s="9" t="s">
        <v>35</v>
      </c>
      <c r="C52" s="7">
        <v>50</v>
      </c>
      <c r="D52" s="7">
        <v>80</v>
      </c>
      <c r="E52" s="7">
        <v>100</v>
      </c>
      <c r="F52" s="7">
        <v>120</v>
      </c>
      <c r="G52" s="7">
        <v>150</v>
      </c>
      <c r="H52" s="7">
        <v>180</v>
      </c>
      <c r="I52" s="7">
        <v>200</v>
      </c>
      <c r="J52" s="7">
        <v>220</v>
      </c>
      <c r="L52" s="19" t="s">
        <v>54</v>
      </c>
      <c r="N52" s="31" t="s">
        <v>79</v>
      </c>
      <c r="O52" s="31" t="s">
        <v>80</v>
      </c>
      <c r="P52" s="31" t="s">
        <v>81</v>
      </c>
      <c r="Q52" s="31" t="s">
        <v>82</v>
      </c>
      <c r="R52" s="31"/>
      <c r="W52" s="33" t="s">
        <v>96</v>
      </c>
      <c r="X52" s="34"/>
      <c r="Y52" s="35"/>
    </row>
    <row r="53" spans="2:26" ht="14.4" x14ac:dyDescent="0.3">
      <c r="B53" s="9" t="s">
        <v>37</v>
      </c>
      <c r="C53" s="7">
        <v>30</v>
      </c>
      <c r="D53" s="7">
        <v>60</v>
      </c>
      <c r="E53" s="7">
        <v>80</v>
      </c>
      <c r="F53" s="7">
        <v>100</v>
      </c>
      <c r="G53" s="7">
        <v>120</v>
      </c>
      <c r="H53" s="7">
        <v>140</v>
      </c>
      <c r="I53" s="7">
        <v>160</v>
      </c>
      <c r="J53" s="7">
        <v>180</v>
      </c>
      <c r="L53" s="19" t="s">
        <v>55</v>
      </c>
      <c r="N53" s="19" t="s">
        <v>83</v>
      </c>
      <c r="O53" s="32">
        <v>0.1</v>
      </c>
      <c r="P53" s="32">
        <v>0.22</v>
      </c>
      <c r="Q53" s="19">
        <v>12</v>
      </c>
      <c r="R53" s="19">
        <v>500</v>
      </c>
      <c r="W53" s="36" t="s">
        <v>97</v>
      </c>
      <c r="X53" s="30"/>
      <c r="Y53" s="37"/>
    </row>
    <row r="54" spans="2:26" ht="14.4" x14ac:dyDescent="0.3">
      <c r="B54" s="4" t="s">
        <v>56</v>
      </c>
      <c r="C54" s="7"/>
      <c r="D54" s="7"/>
      <c r="E54" s="7"/>
      <c r="F54" s="7"/>
      <c r="G54" s="7"/>
      <c r="H54" s="7"/>
      <c r="I54" s="7"/>
      <c r="J54" s="7"/>
      <c r="L54" s="19"/>
      <c r="N54" s="19" t="s">
        <v>84</v>
      </c>
      <c r="O54" s="32">
        <v>0.12</v>
      </c>
      <c r="P54" s="32">
        <v>0.28000000000000003</v>
      </c>
      <c r="Q54" s="19">
        <v>14</v>
      </c>
      <c r="R54" s="19">
        <v>200</v>
      </c>
      <c r="W54" s="36" t="s">
        <v>98</v>
      </c>
      <c r="X54" s="30"/>
      <c r="Y54" s="37"/>
    </row>
    <row r="55" spans="2:26" ht="15" thickBot="1" x14ac:dyDescent="0.35">
      <c r="B55" s="9" t="s">
        <v>33</v>
      </c>
      <c r="C55" s="7">
        <v>0.15</v>
      </c>
      <c r="D55" s="7">
        <v>0.16</v>
      </c>
      <c r="E55" s="7">
        <v>0.16</v>
      </c>
      <c r="F55" s="7">
        <v>0.17</v>
      </c>
      <c r="G55" s="7">
        <v>0.18</v>
      </c>
      <c r="H55" s="7">
        <v>0.18</v>
      </c>
      <c r="I55" s="7">
        <v>0.19</v>
      </c>
      <c r="J55" s="7">
        <v>0.2</v>
      </c>
      <c r="L55" s="19" t="s">
        <v>34</v>
      </c>
      <c r="N55" s="19" t="s">
        <v>85</v>
      </c>
      <c r="O55" s="32">
        <v>7.0000000000000007E-2</v>
      </c>
      <c r="P55" s="32">
        <v>0.15</v>
      </c>
      <c r="Q55" s="19">
        <v>10</v>
      </c>
      <c r="R55" s="19">
        <v>500</v>
      </c>
      <c r="W55" s="38" t="s">
        <v>99</v>
      </c>
      <c r="X55" s="39"/>
      <c r="Y55" s="40"/>
    </row>
    <row r="56" spans="2:26" ht="15" thickBot="1" x14ac:dyDescent="0.35">
      <c r="B56" s="9" t="s">
        <v>35</v>
      </c>
      <c r="C56" s="7">
        <v>400</v>
      </c>
      <c r="D56" s="7">
        <v>500</v>
      </c>
      <c r="E56" s="7">
        <v>600</v>
      </c>
      <c r="F56" s="7">
        <v>700</v>
      </c>
      <c r="G56" s="7">
        <v>800</v>
      </c>
      <c r="H56" s="7">
        <v>900</v>
      </c>
      <c r="I56" s="7">
        <v>1000</v>
      </c>
      <c r="J56" s="7">
        <v>1100</v>
      </c>
      <c r="L56" s="19" t="s">
        <v>46</v>
      </c>
    </row>
    <row r="57" spans="2:26" ht="18" x14ac:dyDescent="0.3">
      <c r="B57" s="9" t="s">
        <v>37</v>
      </c>
      <c r="C57" s="7">
        <v>250</v>
      </c>
      <c r="D57" s="7">
        <v>350</v>
      </c>
      <c r="E57" s="7">
        <v>450</v>
      </c>
      <c r="F57" s="7">
        <v>550</v>
      </c>
      <c r="G57" s="7">
        <v>650</v>
      </c>
      <c r="H57" s="7">
        <v>750</v>
      </c>
      <c r="I57" s="7">
        <v>850</v>
      </c>
      <c r="J57" s="7">
        <v>950</v>
      </c>
      <c r="L57" s="19" t="s">
        <v>46</v>
      </c>
      <c r="W57" s="41" t="s">
        <v>100</v>
      </c>
      <c r="X57" s="34"/>
      <c r="Y57" s="34"/>
      <c r="Z57" s="35"/>
    </row>
    <row r="58" spans="2:26" ht="15" thickBot="1" x14ac:dyDescent="0.35">
      <c r="B58" s="4" t="s">
        <v>28</v>
      </c>
      <c r="C58" s="7"/>
      <c r="D58" s="7"/>
      <c r="E58" s="7"/>
      <c r="F58" s="7"/>
      <c r="G58" s="7"/>
      <c r="H58" s="7"/>
      <c r="I58" s="7"/>
      <c r="J58" s="7"/>
      <c r="L58" s="19"/>
      <c r="W58" s="42"/>
      <c r="X58" s="30"/>
      <c r="Y58" s="30"/>
      <c r="Z58" s="37"/>
    </row>
    <row r="59" spans="2:26" ht="14.4" x14ac:dyDescent="0.3">
      <c r="B59" s="9" t="s">
        <v>33</v>
      </c>
      <c r="C59" s="7">
        <v>0.12</v>
      </c>
      <c r="D59" s="7">
        <v>0.13</v>
      </c>
      <c r="E59" s="7">
        <v>0.14000000000000001</v>
      </c>
      <c r="F59" s="7">
        <v>0.15</v>
      </c>
      <c r="G59" s="7">
        <v>0.16</v>
      </c>
      <c r="H59" s="7">
        <v>0.16</v>
      </c>
      <c r="I59" s="7">
        <v>0.17</v>
      </c>
      <c r="J59" s="7">
        <v>0.18</v>
      </c>
      <c r="L59" s="19" t="s">
        <v>57</v>
      </c>
      <c r="N59" s="33" t="s">
        <v>87</v>
      </c>
      <c r="O59" s="34"/>
      <c r="P59" s="34"/>
      <c r="Q59" s="35"/>
      <c r="W59" s="42" t="s">
        <v>101</v>
      </c>
      <c r="X59" s="30"/>
      <c r="Y59" s="30"/>
      <c r="Z59" s="37"/>
    </row>
    <row r="60" spans="2:26" ht="14.4" x14ac:dyDescent="0.3">
      <c r="B60" s="9" t="s">
        <v>35</v>
      </c>
      <c r="C60" s="7">
        <v>500</v>
      </c>
      <c r="D60" s="7">
        <v>550</v>
      </c>
      <c r="E60" s="7">
        <v>600</v>
      </c>
      <c r="F60" s="7">
        <v>650</v>
      </c>
      <c r="G60" s="7">
        <v>700</v>
      </c>
      <c r="H60" s="7">
        <v>750</v>
      </c>
      <c r="I60" s="7">
        <v>800</v>
      </c>
      <c r="J60" s="7">
        <v>850</v>
      </c>
      <c r="L60" s="19" t="s">
        <v>58</v>
      </c>
      <c r="N60" s="36" t="s">
        <v>88</v>
      </c>
      <c r="O60" s="30" t="s">
        <v>89</v>
      </c>
      <c r="P60" s="30"/>
      <c r="Q60" s="37"/>
      <c r="W60" s="42"/>
      <c r="X60" s="30"/>
      <c r="Y60" s="30"/>
      <c r="Z60" s="37"/>
    </row>
    <row r="61" spans="2:26" ht="14.4" x14ac:dyDescent="0.3">
      <c r="B61" s="9" t="s">
        <v>37</v>
      </c>
      <c r="C61" s="7">
        <v>350</v>
      </c>
      <c r="D61" s="7">
        <v>420</v>
      </c>
      <c r="E61" s="7">
        <v>480</v>
      </c>
      <c r="F61" s="7">
        <v>540</v>
      </c>
      <c r="G61" s="7">
        <v>600</v>
      </c>
      <c r="H61" s="7">
        <v>650</v>
      </c>
      <c r="I61" s="7">
        <v>700</v>
      </c>
      <c r="J61" s="7">
        <v>750</v>
      </c>
      <c r="L61" s="19" t="s">
        <v>58</v>
      </c>
      <c r="N61" s="36" t="s">
        <v>90</v>
      </c>
      <c r="O61" s="30" t="s">
        <v>91</v>
      </c>
      <c r="P61" s="30"/>
      <c r="Q61" s="37"/>
      <c r="W61" s="42" t="s">
        <v>102</v>
      </c>
      <c r="X61" s="30"/>
      <c r="Y61" s="30"/>
      <c r="Z61" s="37"/>
    </row>
    <row r="62" spans="2:26" ht="15" thickBot="1" x14ac:dyDescent="0.35">
      <c r="B62" s="4" t="s">
        <v>30</v>
      </c>
      <c r="C62" s="7"/>
      <c r="D62" s="7"/>
      <c r="E62" s="7"/>
      <c r="F62" s="7"/>
      <c r="G62" s="7"/>
      <c r="H62" s="7"/>
      <c r="I62" s="7"/>
      <c r="J62" s="7"/>
      <c r="L62" s="19"/>
      <c r="N62" s="38"/>
      <c r="O62" s="39" t="s">
        <v>92</v>
      </c>
      <c r="P62" s="39"/>
      <c r="Q62" s="40"/>
      <c r="W62" s="42"/>
      <c r="X62" s="30"/>
      <c r="Y62" s="30"/>
      <c r="Z62" s="37"/>
    </row>
    <row r="63" spans="2:26" ht="15" thickBot="1" x14ac:dyDescent="0.35">
      <c r="B63" s="9" t="s">
        <v>33</v>
      </c>
      <c r="C63" s="7">
        <v>7.0000000000000007E-2</v>
      </c>
      <c r="D63" s="7">
        <v>7.0000000000000007E-2</v>
      </c>
      <c r="E63" s="7">
        <v>0.08</v>
      </c>
      <c r="F63" s="7">
        <v>0.08</v>
      </c>
      <c r="G63" s="7">
        <v>0.09</v>
      </c>
      <c r="H63" s="7">
        <v>0.09</v>
      </c>
      <c r="I63" s="7">
        <v>0.1</v>
      </c>
      <c r="J63" s="7">
        <v>0.1</v>
      </c>
      <c r="L63" s="19" t="s">
        <v>34</v>
      </c>
      <c r="W63" s="42" t="s">
        <v>103</v>
      </c>
      <c r="X63" s="30"/>
      <c r="Y63" s="30"/>
      <c r="Z63" s="37"/>
    </row>
    <row r="64" spans="2:26" ht="14.4" x14ac:dyDescent="0.3">
      <c r="B64" s="9" t="s">
        <v>35</v>
      </c>
      <c r="C64" s="7">
        <v>30000</v>
      </c>
      <c r="D64" s="7">
        <v>33000</v>
      </c>
      <c r="E64" s="7">
        <v>35000</v>
      </c>
      <c r="F64" s="7">
        <v>37000</v>
      </c>
      <c r="G64" s="7">
        <v>39000</v>
      </c>
      <c r="H64" s="7">
        <v>42000</v>
      </c>
      <c r="I64" s="7">
        <v>45000</v>
      </c>
      <c r="J64" s="7">
        <v>47000</v>
      </c>
      <c r="L64" s="19" t="s">
        <v>59</v>
      </c>
      <c r="N64" s="33" t="s">
        <v>93</v>
      </c>
      <c r="O64" s="34"/>
      <c r="P64" s="35"/>
      <c r="W64" s="42"/>
      <c r="X64" s="30"/>
      <c r="Y64" s="30"/>
      <c r="Z64" s="37"/>
    </row>
    <row r="65" spans="2:26" ht="15" thickBot="1" x14ac:dyDescent="0.35">
      <c r="B65" s="9" t="s">
        <v>37</v>
      </c>
      <c r="C65" s="7">
        <v>18000</v>
      </c>
      <c r="D65" s="7">
        <v>21000</v>
      </c>
      <c r="E65" s="7">
        <v>23000</v>
      </c>
      <c r="F65" s="7">
        <v>26000</v>
      </c>
      <c r="G65" s="7">
        <v>28000</v>
      </c>
      <c r="H65" s="7">
        <v>30000</v>
      </c>
      <c r="I65" s="7">
        <v>32000</v>
      </c>
      <c r="J65" s="7">
        <v>35000</v>
      </c>
      <c r="L65" s="19" t="s">
        <v>36</v>
      </c>
      <c r="N65" s="36" t="s">
        <v>94</v>
      </c>
      <c r="O65" s="30"/>
      <c r="P65" s="37"/>
      <c r="W65" s="43" t="s">
        <v>104</v>
      </c>
      <c r="X65" s="39"/>
      <c r="Y65" s="39"/>
      <c r="Z65" s="40"/>
    </row>
    <row r="66" spans="2:26" ht="15" thickBot="1" x14ac:dyDescent="0.35">
      <c r="B66" s="4" t="s">
        <v>60</v>
      </c>
      <c r="C66" s="7"/>
      <c r="D66" s="7"/>
      <c r="E66" s="7"/>
      <c r="F66" s="7"/>
      <c r="G66" s="7"/>
      <c r="H66" s="7"/>
      <c r="I66" s="7"/>
      <c r="J66" s="7"/>
      <c r="L66" s="19"/>
      <c r="N66" s="38" t="s">
        <v>95</v>
      </c>
      <c r="O66" s="39"/>
      <c r="P66" s="40"/>
    </row>
    <row r="67" spans="2:26" ht="14.4" x14ac:dyDescent="0.3">
      <c r="B67" s="9" t="s">
        <v>33</v>
      </c>
      <c r="C67" s="7">
        <v>25</v>
      </c>
      <c r="D67" s="7">
        <v>26</v>
      </c>
      <c r="E67" s="7">
        <v>28</v>
      </c>
      <c r="F67" s="7">
        <v>30</v>
      </c>
      <c r="G67" s="7">
        <v>32</v>
      </c>
      <c r="H67" s="7">
        <v>34</v>
      </c>
      <c r="I67" s="7">
        <v>36</v>
      </c>
      <c r="J67" s="7">
        <v>38</v>
      </c>
      <c r="L67" s="19" t="s">
        <v>42</v>
      </c>
    </row>
    <row r="68" spans="2:26" ht="14.4" x14ac:dyDescent="0.3">
      <c r="B68" s="9" t="s">
        <v>35</v>
      </c>
      <c r="C68" s="7">
        <v>2</v>
      </c>
      <c r="D68" s="7">
        <v>2</v>
      </c>
      <c r="E68" s="7">
        <v>3</v>
      </c>
      <c r="F68" s="7">
        <v>3</v>
      </c>
      <c r="G68" s="7">
        <v>4</v>
      </c>
      <c r="H68" s="7">
        <v>4</v>
      </c>
      <c r="I68" s="7">
        <v>5</v>
      </c>
      <c r="J68" s="7">
        <v>5</v>
      </c>
      <c r="L68" s="19" t="s">
        <v>61</v>
      </c>
    </row>
    <row r="69" spans="2:26" ht="14.4" x14ac:dyDescent="0.3">
      <c r="B69" s="9" t="s">
        <v>37</v>
      </c>
      <c r="C69" s="7">
        <v>1</v>
      </c>
      <c r="D69" s="7">
        <v>1</v>
      </c>
      <c r="E69" s="7">
        <v>2</v>
      </c>
      <c r="F69" s="7">
        <v>2</v>
      </c>
      <c r="G69" s="7">
        <v>3</v>
      </c>
      <c r="H69" s="7">
        <v>3</v>
      </c>
      <c r="I69" s="7">
        <v>4</v>
      </c>
      <c r="J69" s="7">
        <v>4</v>
      </c>
      <c r="L69" s="19" t="s">
        <v>62</v>
      </c>
    </row>
    <row r="70" spans="2:26" ht="15.75" customHeight="1" x14ac:dyDescent="0.3">
      <c r="L70" s="19"/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5E3602D6-0305-4C49-8A8D-1912876840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Sheet1!C6:C6</xm:f>
              <xm:sqref>C43</xm:sqref>
            </x14:sparkline>
            <x14:sparkline>
              <xm:f>Sheet1!D6:D6</xm:f>
              <xm:sqref>D43</xm:sqref>
            </x14:sparkline>
            <x14:sparkline>
              <xm:f>Sheet1!E6:E6</xm:f>
              <xm:sqref>E43</xm:sqref>
            </x14:sparkline>
            <x14:sparkline>
              <xm:f>Sheet1!F6:F6</xm:f>
              <xm:sqref>F43</xm:sqref>
            </x14:sparkline>
            <x14:sparkline>
              <xm:f>Sheet1!G6:G6</xm:f>
              <xm:sqref>G43</xm:sqref>
            </x14:sparkline>
            <x14:sparkline>
              <xm:f>Sheet1!H6:H6</xm:f>
              <xm:sqref>H43</xm:sqref>
            </x14:sparkline>
            <x14:sparkline>
              <xm:f>Sheet1!I6:I6</xm:f>
              <xm:sqref>I43</xm:sqref>
            </x14:sparkline>
            <x14:sparkline>
              <xm:f>Sheet1!J6:J6</xm:f>
              <xm:sqref>J43</xm:sqref>
            </x14:sparkline>
          </x14:sparklines>
        </x14:sparklineGroup>
        <x14:sparklineGroup manualMax="0" manualMin="0" displayEmptyCellsAs="gap" xr2:uid="{ACD2FF92-35F3-4F1F-82F7-D0A66F776E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Sheet1!C6:C6</xm:f>
              <xm:sqref>C38</xm:sqref>
            </x14:sparkline>
            <x14:sparkline>
              <xm:f>Sheet1!D6:D6</xm:f>
              <xm:sqref>D38</xm:sqref>
            </x14:sparkline>
            <x14:sparkline>
              <xm:f>Sheet1!E6:E6</xm:f>
              <xm:sqref>E38</xm:sqref>
            </x14:sparkline>
            <x14:sparkline>
              <xm:f>Sheet1!F6:F6</xm:f>
              <xm:sqref>F38</xm:sqref>
            </x14:sparkline>
            <x14:sparkline>
              <xm:f>Sheet1!G6:G6</xm:f>
              <xm:sqref>G38</xm:sqref>
            </x14:sparkline>
            <x14:sparkline>
              <xm:f>Sheet1!H6:H6</xm:f>
              <xm:sqref>H38</xm:sqref>
            </x14:sparkline>
            <x14:sparkline>
              <xm:f>Sheet1!I6:I6</xm:f>
              <xm:sqref>I38</xm:sqref>
            </x14:sparkline>
            <x14:sparkline>
              <xm:f>Sheet1!J6:J6</xm:f>
              <xm:sqref>J38</xm:sqref>
            </x14:sparkline>
          </x14:sparklines>
        </x14:sparklineGroup>
        <x14:sparklineGroup displayEmptyCellsAs="gap" xr2:uid="{7E7714A2-B125-4F90-88E0-068C391D3E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Sheet1!C6:C6</xm:f>
              <xm:sqref>C5</xm:sqref>
            </x14:sparkline>
            <x14:sparkline>
              <xm:f>Sheet1!D6:D6</xm:f>
              <xm:sqref>D5</xm:sqref>
            </x14:sparkline>
            <x14:sparkline>
              <xm:f>Sheet1!E6:E6</xm:f>
              <xm:sqref>E5</xm:sqref>
            </x14:sparkline>
            <x14:sparkline>
              <xm:f>Sheet1!F6:F6</xm:f>
              <xm:sqref>F5</xm:sqref>
            </x14:sparkline>
            <x14:sparkline>
              <xm:f>Sheet1!G6:G6</xm:f>
              <xm:sqref>G5</xm:sqref>
            </x14:sparkline>
            <x14:sparkline>
              <xm:f>Sheet1!H6:H6</xm:f>
              <xm:sqref>H5</xm:sqref>
            </x14:sparkline>
            <x14:sparkline>
              <xm:f>Sheet1!I6:I6</xm:f>
              <xm:sqref>I5</xm:sqref>
            </x14:sparkline>
            <x14:sparkline>
              <xm:f>Sheet1!J6:J6</xm:f>
              <xm:sqref>J5</xm:sqref>
            </x14:sparkline>
          </x14:sparklines>
        </x14:sparklineGroup>
        <x14:sparklineGroup manualMax="0" manualMin="0" displayEmptyCellsAs="gap" xr2:uid="{11AC7379-43BC-4444-A045-9B5A004881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Sheet1!C3:C3</xm:f>
              <xm:sqref>C4</xm:sqref>
            </x14:sparkline>
            <x14:sparkline>
              <xm:f>Sheet1!D3:D3</xm:f>
              <xm:sqref>D4</xm:sqref>
            </x14:sparkline>
            <x14:sparkline>
              <xm:f>Sheet1!E3:E3</xm:f>
              <xm:sqref>E4</xm:sqref>
            </x14:sparkline>
            <x14:sparkline>
              <xm:f>Sheet1!F3:F3</xm:f>
              <xm:sqref>F4</xm:sqref>
            </x14:sparkline>
            <x14:sparkline>
              <xm:f>Sheet1!G3:G3</xm:f>
              <xm:sqref>G4</xm:sqref>
            </x14:sparkline>
            <x14:sparkline>
              <xm:f>Sheet1!H3:H3</xm:f>
              <xm:sqref>H4</xm:sqref>
            </x14:sparkline>
            <x14:sparkline>
              <xm:f>Sheet1!I3:I3</xm:f>
              <xm:sqref>I4</xm:sqref>
            </x14:sparkline>
            <x14:sparkline>
              <xm:f>Sheet1!J3:J3</xm:f>
              <xm:sqref>J4</xm:sqref>
            </x14:sparkline>
          </x14:sparklines>
        </x14:sparklineGroup>
        <x14:sparklineGroup manualMax="0" manualMin="0" displayEmptyCellsAs="gap" xr2:uid="{C3E7418D-EBC1-48C3-A481-828A62A926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Sheet1!B3:B3</xm:f>
              <xm:sqref>B4</xm:sqref>
            </x14:sparkline>
          </x14:sparklines>
        </x14:sparklineGroup>
        <x14:sparklineGroup displayEmptyCellsAs="gap" xr2:uid="{4474866C-02D4-486C-8D98-731CF8D2E3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Sheet1!C6:C6</xm:f>
              <xm:sqref>C48</xm:sqref>
            </x14:sparkline>
            <x14:sparkline>
              <xm:f>Sheet1!D6:D6</xm:f>
              <xm:sqref>D48</xm:sqref>
            </x14:sparkline>
            <x14:sparkline>
              <xm:f>Sheet1!E6:E6</xm:f>
              <xm:sqref>E48</xm:sqref>
            </x14:sparkline>
            <x14:sparkline>
              <xm:f>Sheet1!F6:F6</xm:f>
              <xm:sqref>F48</xm:sqref>
            </x14:sparkline>
            <x14:sparkline>
              <xm:f>Sheet1!G6:G6</xm:f>
              <xm:sqref>G48</xm:sqref>
            </x14:sparkline>
            <x14:sparkline>
              <xm:f>Sheet1!H6:H6</xm:f>
              <xm:sqref>H48</xm:sqref>
            </x14:sparkline>
            <x14:sparkline>
              <xm:f>Sheet1!I6:I6</xm:f>
              <xm:sqref>I48</xm:sqref>
            </x14:sparkline>
            <x14:sparkline>
              <xm:f>Sheet1!J6:J6</xm:f>
              <xm:sqref>J48</xm:sqref>
            </x14:sparkline>
          </x14:sparklines>
        </x14:sparklineGroup>
        <x14:sparklineGroup displayEmptyCellsAs="gap" xr2:uid="{DAB469B0-4F24-49FC-9092-3174A93FE8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Sheet1!C5:C5</xm:f>
              <xm:sqref>C53</xm:sqref>
            </x14:sparkline>
            <x14:sparkline>
              <xm:f>Sheet1!D5:D5</xm:f>
              <xm:sqref>D53</xm:sqref>
            </x14:sparkline>
            <x14:sparkline>
              <xm:f>Sheet1!E5:E5</xm:f>
              <xm:sqref>E53</xm:sqref>
            </x14:sparkline>
            <x14:sparkline>
              <xm:f>Sheet1!F5:F5</xm:f>
              <xm:sqref>F53</xm:sqref>
            </x14:sparkline>
            <x14:sparkline>
              <xm:f>Sheet1!G5:G5</xm:f>
              <xm:sqref>G53</xm:sqref>
            </x14:sparkline>
            <x14:sparkline>
              <xm:f>Sheet1!H5:H5</xm:f>
              <xm:sqref>H53</xm:sqref>
            </x14:sparkline>
            <x14:sparkline>
              <xm:f>Sheet1!I5:I5</xm:f>
              <xm:sqref>I53</xm:sqref>
            </x14:sparkline>
            <x14:sparkline>
              <xm:f>Sheet1!J5:J5</xm:f>
              <xm:sqref>J53</xm:sqref>
            </x14:sparkline>
          </x14:sparklines>
        </x14:sparklineGroup>
        <x14:sparklineGroup displayEmptyCellsAs="gap" xr2:uid="{2A5897DE-DAC2-4B20-8885-F814D86F24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Sheet1!C5:C5</xm:f>
              <xm:sqref>C6</xm:sqref>
            </x14:sparkline>
            <x14:sparkline>
              <xm:f>Sheet1!D5:D5</xm:f>
              <xm:sqref>D6</xm:sqref>
            </x14:sparkline>
            <x14:sparkline>
              <xm:f>Sheet1!E5:E5</xm:f>
              <xm:sqref>E6</xm:sqref>
            </x14:sparkline>
            <x14:sparkline>
              <xm:f>Sheet1!F5:F5</xm:f>
              <xm:sqref>F6</xm:sqref>
            </x14:sparkline>
            <x14:sparkline>
              <xm:f>Sheet1!G5:G5</xm:f>
              <xm:sqref>G6</xm:sqref>
            </x14:sparkline>
            <x14:sparkline>
              <xm:f>Sheet1!H5:H5</xm:f>
              <xm:sqref>H6</xm:sqref>
            </x14:sparkline>
            <x14:sparkline>
              <xm:f>Sheet1!I5:I5</xm:f>
              <xm:sqref>I6</xm:sqref>
            </x14:sparkline>
            <x14:sparkline>
              <xm:f>Sheet1!J5:J5</xm:f>
              <xm:sqref>J6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jaswanthnagendra27@gmail.com</dc:creator>
  <cp:lastModifiedBy>jaswanthnagendra27@gmail.com</cp:lastModifiedBy>
  <dcterms:created xsi:type="dcterms:W3CDTF">2025-12-06T14:03:27Z</dcterms:created>
  <dcterms:modified xsi:type="dcterms:W3CDTF">2025-12-06T14:49:25Z</dcterms:modified>
</cp:coreProperties>
</file>